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efaultThemeVersion="124226"/>
  <bookViews>
    <workbookView xWindow="120" yWindow="60" windowWidth="15180" windowHeight="8580" activeTab="4"/>
  </bookViews>
  <sheets>
    <sheet name="Heath insurance" sheetId="2" r:id="rId1"/>
    <sheet name="Лист2" sheetId="9" r:id="rId2"/>
    <sheet name="Лист5" sheetId="12" r:id="rId3"/>
    <sheet name="Лист4" sheetId="11" r:id="rId4"/>
    <sheet name="Лист6" sheetId="13" r:id="rId5"/>
  </sheets>
  <definedNames>
    <definedName name="ага" comment="ага">#REF!</definedName>
    <definedName name="Ой">#REF!</definedName>
    <definedName name="привет" comment="ИАРВШМАЯОД">#REF!</definedName>
    <definedName name="Товары">Лист2!$A$2:$A$4</definedName>
  </definedNames>
  <calcPr calcId="145621"/>
</workbook>
</file>

<file path=xl/calcChain.xml><?xml version="1.0" encoding="utf-8"?>
<calcChain xmlns="http://schemas.openxmlformats.org/spreadsheetml/2006/main">
  <c r="C2" i="11" l="1"/>
  <c r="D2" i="12"/>
  <c r="H34" i="2"/>
  <c r="G34" i="2"/>
  <c r="H17" i="2"/>
  <c r="H28" i="2"/>
  <c r="G17" i="2"/>
  <c r="G28" i="2"/>
  <c r="D34" i="2"/>
  <c r="C34" i="2"/>
  <c r="D28" i="2"/>
  <c r="C28" i="2"/>
  <c r="C17" i="2"/>
  <c r="D17" i="2"/>
  <c r="E33" i="2"/>
  <c r="F33" i="2"/>
  <c r="E32" i="2"/>
  <c r="F32" i="2"/>
  <c r="E31" i="2"/>
  <c r="F31" i="2"/>
  <c r="E30" i="2"/>
  <c r="F30" i="2"/>
  <c r="E29" i="2"/>
  <c r="E27" i="2"/>
  <c r="F27" i="2"/>
  <c r="E26" i="2"/>
  <c r="F26" i="2"/>
  <c r="E25" i="2"/>
  <c r="F25" i="2"/>
  <c r="E24" i="2"/>
  <c r="F24" i="2"/>
  <c r="E23" i="2"/>
  <c r="F23" i="2"/>
  <c r="E22" i="2"/>
  <c r="F22" i="2"/>
  <c r="E21" i="2"/>
  <c r="F21" i="2"/>
  <c r="E20" i="2"/>
  <c r="F20" i="2"/>
  <c r="E19" i="2"/>
  <c r="F19" i="2"/>
  <c r="E18" i="2"/>
  <c r="F18" i="2"/>
  <c r="E16" i="2"/>
  <c r="E15" i="2"/>
  <c r="E14" i="2"/>
  <c r="E13" i="2"/>
  <c r="E12" i="2"/>
  <c r="E11" i="2"/>
  <c r="E10" i="2"/>
  <c r="E9" i="2"/>
  <c r="E8" i="2"/>
  <c r="E7" i="2"/>
  <c r="I8" i="2"/>
  <c r="I9" i="2"/>
  <c r="I10" i="2"/>
  <c r="I11" i="2"/>
  <c r="I12" i="2"/>
  <c r="I13" i="2"/>
  <c r="I14" i="2"/>
  <c r="I15" i="2"/>
  <c r="I16" i="2"/>
  <c r="I18" i="2"/>
  <c r="I19" i="2"/>
  <c r="I20" i="2"/>
  <c r="I21" i="2"/>
  <c r="I22" i="2"/>
  <c r="I23" i="2"/>
  <c r="I24" i="2"/>
  <c r="I25" i="2"/>
  <c r="I26" i="2"/>
  <c r="I27" i="2"/>
  <c r="I29" i="2"/>
  <c r="I34" i="2"/>
  <c r="I30" i="2"/>
  <c r="I31" i="2"/>
  <c r="I32" i="2"/>
  <c r="I33" i="2"/>
  <c r="I7" i="2"/>
  <c r="I17" i="2"/>
  <c r="I28" i="2"/>
  <c r="E34" i="2"/>
  <c r="F34" i="2"/>
  <c r="C35" i="2"/>
  <c r="F29" i="2"/>
  <c r="D35" i="2"/>
  <c r="E28" i="2"/>
  <c r="F28" i="2"/>
  <c r="E17" i="2"/>
  <c r="F17" i="2"/>
  <c r="E35" i="2"/>
</calcChain>
</file>

<file path=xl/sharedStrings.xml><?xml version="1.0" encoding="utf-8"?>
<sst xmlns="http://schemas.openxmlformats.org/spreadsheetml/2006/main" count="47" uniqueCount="39">
  <si>
    <t>TOTAL</t>
  </si>
  <si>
    <t>Men</t>
  </si>
  <si>
    <t>Women</t>
  </si>
  <si>
    <t xml:space="preserve">Men </t>
  </si>
  <si>
    <t>Number eligible ('000s)</t>
  </si>
  <si>
    <t>Total population ('000s)</t>
  </si>
  <si>
    <t xml:space="preserve">TOTAL  </t>
  </si>
  <si>
    <t>Number of men and women ('000s) entitled to benefits under the national health insurance scheme in the UK, 1914-38</t>
  </si>
  <si>
    <t>(Source: Harris, Origins of the British Welfare State, p. 224.)</t>
  </si>
  <si>
    <t>Eligible men as % of all men</t>
  </si>
  <si>
    <t>Eligible women as % of all women</t>
  </si>
  <si>
    <t>Males as % of number eligible</t>
  </si>
  <si>
    <t>1914-1923</t>
  </si>
  <si>
    <t>1924-1933</t>
  </si>
  <si>
    <t>1938</t>
  </si>
  <si>
    <t>1934-1938</t>
  </si>
  <si>
    <t xml:space="preserve"> </t>
  </si>
  <si>
    <t>Среднее</t>
  </si>
  <si>
    <t>Максимум</t>
  </si>
  <si>
    <t>Минимум</t>
  </si>
  <si>
    <t>Цена</t>
  </si>
  <si>
    <t>Кристина</t>
  </si>
  <si>
    <t>ТОВАРЫ</t>
  </si>
  <si>
    <t>Марк</t>
  </si>
  <si>
    <t>Ксюша</t>
  </si>
  <si>
    <t>период</t>
  </si>
  <si>
    <t>выплаты</t>
  </si>
  <si>
    <t>начальный взнос</t>
  </si>
  <si>
    <t>БС</t>
  </si>
  <si>
    <t>Процентная ставка</t>
  </si>
  <si>
    <t>Ставка</t>
  </si>
  <si>
    <t>Выплаты</t>
  </si>
  <si>
    <t>сроки выплат</t>
  </si>
  <si>
    <t>Элеваторы</t>
  </si>
  <si>
    <t xml:space="preserve">Сельские предприятия 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</si>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</sst>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#,##0.00\ &quot;₽&quot;;[Red]\-#,##0.00\ &quot;₽&quot;"/>
    <numFmt numFmtId="44" formatCode="_-* #,##0.00\ &quot;₽&quot;_-;\-* #,##0.00\ &quot;₽&quot;_-;_-* &quot;-&quot;??\ &quot;₽&quot;_-;_-@_-"/>
    <numFmt numFmtId="172" formatCode="0.0"/>
    <numFmt numFmtId="176" formatCode="#,##0.00\ _₽"/>
    <numFmt numFmtId="178" formatCode="#,##0.00\ &quot;₽&quot;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00B050"/>
      <name val="Arial"/>
      <family val="2"/>
      <charset val="204"/>
    </font>
    <font>
      <b/>
      <sz val="10"/>
      <color rgb="FF00B050"/>
      <name val="Arial"/>
      <family val="2"/>
      <charset val="204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7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0" xfId="0" applyFill="1" applyBorder="1"/>
    <xf numFmtId="0" fontId="0" fillId="0" borderId="2" xfId="0" applyBorder="1"/>
    <xf numFmtId="0" fontId="1" fillId="0" borderId="3" xfId="0" applyFont="1" applyBorder="1"/>
    <xf numFmtId="0" fontId="1" fillId="0" borderId="5" xfId="0" applyFont="1" applyBorder="1"/>
    <xf numFmtId="0" fontId="0" fillId="0" borderId="0" xfId="0" applyBorder="1"/>
    <xf numFmtId="0" fontId="0" fillId="0" borderId="5" xfId="0" applyBorder="1"/>
    <xf numFmtId="0" fontId="0" fillId="0" borderId="3" xfId="0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2" fontId="0" fillId="0" borderId="5" xfId="0" applyNumberFormat="1" applyBorder="1" applyAlignment="1">
      <alignment horizontal="right"/>
    </xf>
    <xf numFmtId="172" fontId="0" fillId="0" borderId="3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0" fillId="0" borderId="3" xfId="0" applyNumberFormat="1" applyBorder="1" applyAlignment="1">
      <alignment horizontal="right"/>
    </xf>
    <xf numFmtId="49" fontId="1" fillId="0" borderId="3" xfId="0" applyNumberFormat="1" applyFont="1" applyBorder="1"/>
    <xf numFmtId="1" fontId="0" fillId="0" borderId="2" xfId="0" applyNumberFormat="1" applyBorder="1"/>
    <xf numFmtId="49" fontId="3" fillId="0" borderId="3" xfId="0" applyNumberFormat="1" applyFont="1" applyBorder="1"/>
    <xf numFmtId="49" fontId="1" fillId="0" borderId="0" xfId="0" applyNumberFormat="1" applyFont="1" applyBorder="1"/>
    <xf numFmtId="1" fontId="0" fillId="0" borderId="0" xfId="0" applyNumberFormat="1" applyBorder="1" applyAlignment="1">
      <alignment horizontal="right"/>
    </xf>
    <xf numFmtId="172" fontId="0" fillId="0" borderId="0" xfId="0" applyNumberFormat="1" applyBorder="1" applyAlignment="1">
      <alignment horizontal="right"/>
    </xf>
    <xf numFmtId="0" fontId="1" fillId="0" borderId="0" xfId="0" applyFont="1" applyBorder="1"/>
    <xf numFmtId="0" fontId="3" fillId="0" borderId="0" xfId="0" applyFont="1" applyBorder="1"/>
    <xf numFmtId="0" fontId="2" fillId="0" borderId="0" xfId="0" applyFont="1"/>
    <xf numFmtId="10" fontId="0" fillId="0" borderId="3" xfId="0" applyNumberFormat="1" applyBorder="1" applyAlignment="1">
      <alignment horizontal="right"/>
    </xf>
    <xf numFmtId="176" fontId="0" fillId="0" borderId="0" xfId="0" applyNumberFormat="1"/>
    <xf numFmtId="176" fontId="1" fillId="0" borderId="1" xfId="0" applyNumberFormat="1" applyFont="1" applyBorder="1"/>
    <xf numFmtId="176" fontId="0" fillId="0" borderId="8" xfId="0" applyNumberFormat="1" applyBorder="1"/>
    <xf numFmtId="176" fontId="0" fillId="0" borderId="2" xfId="0" applyNumberFormat="1" applyBorder="1"/>
    <xf numFmtId="176" fontId="0" fillId="0" borderId="0" xfId="0" applyNumberFormat="1" applyBorder="1"/>
    <xf numFmtId="176" fontId="0" fillId="0" borderId="7" xfId="0" applyNumberFormat="1" applyBorder="1"/>
    <xf numFmtId="0" fontId="4" fillId="0" borderId="0" xfId="0" applyFont="1" applyFill="1" applyBorder="1"/>
    <xf numFmtId="0" fontId="5" fillId="0" borderId="3" xfId="0" applyFont="1" applyBorder="1"/>
    <xf numFmtId="0" fontId="6" fillId="0" borderId="3" xfId="0" applyFont="1" applyBorder="1"/>
    <xf numFmtId="0" fontId="7" fillId="0" borderId="0" xfId="0" applyFont="1" applyFill="1" applyBorder="1"/>
    <xf numFmtId="0" fontId="8" fillId="0" borderId="0" xfId="0" applyFont="1" applyBorder="1"/>
    <xf numFmtId="49" fontId="1" fillId="0" borderId="9" xfId="0" applyNumberFormat="1" applyFont="1" applyBorder="1" applyAlignment="1">
      <alignment horizontal="center" vertical="center" wrapText="1"/>
    </xf>
    <xf numFmtId="49" fontId="1" fillId="0" borderId="10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12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9" fontId="0" fillId="0" borderId="0" xfId="0" applyNumberFormat="1"/>
    <xf numFmtId="178" fontId="0" fillId="0" borderId="0" xfId="0" applyNumberFormat="1"/>
    <xf numFmtId="9" fontId="2" fillId="0" borderId="0" xfId="0" applyNumberFormat="1" applyFont="1"/>
    <xf numFmtId="8" fontId="0" fillId="0" borderId="0" xfId="0" applyNumberFormat="1"/>
    <xf numFmtId="44" fontId="2" fillId="0" borderId="0" xfId="0" applyNumberFormat="1" applyFont="1"/>
    <xf numFmtId="44" fontId="0" fillId="0" borderId="0" xfId="0" applyNumberFormat="1"/>
    <xf numFmtId="0" fontId="2" fillId="0" borderId="0" xfId="0" applyNumberFormat="1" applyFont="1"/>
    <xf numFmtId="0" fontId="0" fillId="0" borderId="0" xfId="0" applyNumberFormat="1"/>
    <xf numFmtId="0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35"/>
  <sheetViews>
    <sheetView topLeftCell="A4" workbookViewId="0">
      <selection activeCell="K17" sqref="K17"/>
    </sheetView>
  </sheetViews>
  <sheetFormatPr defaultRowHeight="13.2" outlineLevelRow="1" x14ac:dyDescent="0.25"/>
  <cols>
    <col min="2" max="2" width="10" customWidth="1"/>
    <col min="3" max="4" width="11.6640625" style="27" bestFit="1" customWidth="1"/>
    <col min="5" max="6" width="10.109375" customWidth="1"/>
    <col min="10" max="10" width="10.77734375" customWidth="1"/>
    <col min="11" max="11" width="11.5546875" customWidth="1"/>
    <col min="12" max="12" width="11.6640625" customWidth="1"/>
  </cols>
  <sheetData>
    <row r="2" spans="2:18" x14ac:dyDescent="0.25">
      <c r="B2" s="1" t="s">
        <v>7</v>
      </c>
    </row>
    <row r="3" spans="2:18" x14ac:dyDescent="0.25">
      <c r="B3" s="1" t="s">
        <v>8</v>
      </c>
    </row>
    <row r="4" spans="2:18" x14ac:dyDescent="0.25">
      <c r="B4" s="1"/>
    </row>
    <row r="5" spans="2:18" ht="51" customHeight="1" x14ac:dyDescent="0.25">
      <c r="B5" s="11"/>
      <c r="C5" s="38" t="s">
        <v>4</v>
      </c>
      <c r="D5" s="39"/>
      <c r="E5" s="40"/>
      <c r="F5" s="43" t="s">
        <v>11</v>
      </c>
      <c r="G5" s="38" t="s">
        <v>5</v>
      </c>
      <c r="H5" s="39"/>
      <c r="I5" s="40"/>
      <c r="J5" s="45"/>
      <c r="K5" s="41" t="s">
        <v>9</v>
      </c>
      <c r="L5" s="43" t="s">
        <v>10</v>
      </c>
    </row>
    <row r="6" spans="2:18" x14ac:dyDescent="0.25">
      <c r="B6" s="10"/>
      <c r="C6" s="28" t="s">
        <v>1</v>
      </c>
      <c r="D6" s="28" t="s">
        <v>2</v>
      </c>
      <c r="E6" s="2" t="s">
        <v>6</v>
      </c>
      <c r="F6" s="44"/>
      <c r="G6" s="2" t="s">
        <v>3</v>
      </c>
      <c r="H6" s="2" t="s">
        <v>2</v>
      </c>
      <c r="I6" s="6" t="s">
        <v>0</v>
      </c>
      <c r="J6" s="46"/>
      <c r="K6" s="42"/>
      <c r="L6" s="44"/>
    </row>
    <row r="7" spans="2:18" hidden="1" outlineLevel="1" x14ac:dyDescent="0.25">
      <c r="B7" s="17">
        <v>1914</v>
      </c>
      <c r="C7" s="32">
        <v>9667</v>
      </c>
      <c r="D7" s="29">
        <v>4020</v>
      </c>
      <c r="E7" s="15">
        <f>SUM(B7:C7)</f>
        <v>11581</v>
      </c>
      <c r="F7" s="13"/>
      <c r="G7" s="3">
        <v>20187</v>
      </c>
      <c r="H7" s="12">
        <v>21527</v>
      </c>
      <c r="I7" s="8">
        <f>G7+H7</f>
        <v>41714</v>
      </c>
      <c r="J7" s="5">
        <v>1914</v>
      </c>
      <c r="K7" s="13"/>
      <c r="L7" s="13"/>
    </row>
    <row r="8" spans="2:18" hidden="1" outlineLevel="1" x14ac:dyDescent="0.25">
      <c r="B8" s="17">
        <v>1915</v>
      </c>
      <c r="C8" s="30">
        <v>9947</v>
      </c>
      <c r="D8" s="29">
        <v>4146</v>
      </c>
      <c r="E8" s="16">
        <f t="shared" ref="E8:E16" si="0">SUM(C8:D8)</f>
        <v>14093</v>
      </c>
      <c r="F8" s="14"/>
      <c r="G8" s="3">
        <v>18311</v>
      </c>
      <c r="H8" s="7">
        <v>21744</v>
      </c>
      <c r="I8" s="9">
        <f t="shared" ref="I8:I27" si="1">G8+H8</f>
        <v>40055</v>
      </c>
      <c r="J8" s="5">
        <v>1915</v>
      </c>
      <c r="K8" s="14"/>
      <c r="L8" s="14"/>
    </row>
    <row r="9" spans="2:18" hidden="1" outlineLevel="1" x14ac:dyDescent="0.25">
      <c r="B9" s="17">
        <v>1916</v>
      </c>
      <c r="C9" s="30">
        <v>10316</v>
      </c>
      <c r="D9" s="29">
        <v>4532</v>
      </c>
      <c r="E9" s="16">
        <f t="shared" si="0"/>
        <v>14848</v>
      </c>
      <c r="F9" s="14"/>
      <c r="G9" s="3">
        <v>17536</v>
      </c>
      <c r="H9" s="7">
        <v>21901</v>
      </c>
      <c r="I9" s="9">
        <f t="shared" si="1"/>
        <v>39437</v>
      </c>
      <c r="J9" s="5">
        <v>1916</v>
      </c>
      <c r="K9" s="14"/>
      <c r="L9" s="14"/>
    </row>
    <row r="10" spans="2:18" hidden="1" outlineLevel="1" x14ac:dyDescent="0.25">
      <c r="B10" s="17">
        <v>1917</v>
      </c>
      <c r="C10" s="30">
        <v>10514</v>
      </c>
      <c r="D10" s="29">
        <v>4853</v>
      </c>
      <c r="E10" s="16">
        <f t="shared" si="0"/>
        <v>15367</v>
      </c>
      <c r="F10" s="14"/>
      <c r="G10" s="3">
        <v>16977</v>
      </c>
      <c r="H10" s="7">
        <v>22030</v>
      </c>
      <c r="I10" s="9">
        <f t="shared" si="1"/>
        <v>39007</v>
      </c>
      <c r="J10" s="5">
        <v>1917</v>
      </c>
      <c r="K10" s="14"/>
      <c r="L10" s="14"/>
    </row>
    <row r="11" spans="2:18" hidden="1" outlineLevel="1" x14ac:dyDescent="0.25">
      <c r="B11" s="17">
        <v>1918</v>
      </c>
      <c r="C11" s="30">
        <v>10705</v>
      </c>
      <c r="D11" s="29">
        <v>5183</v>
      </c>
      <c r="E11" s="16">
        <f t="shared" si="0"/>
        <v>15888</v>
      </c>
      <c r="F11" s="14"/>
      <c r="G11" s="3">
        <v>16742</v>
      </c>
      <c r="H11" s="7">
        <v>22094</v>
      </c>
      <c r="I11" s="9">
        <f t="shared" si="1"/>
        <v>38836</v>
      </c>
      <c r="J11" s="5">
        <v>1918</v>
      </c>
      <c r="K11" s="14"/>
      <c r="L11" s="14"/>
    </row>
    <row r="12" spans="2:18" hidden="1" outlineLevel="1" x14ac:dyDescent="0.25">
      <c r="B12" s="17">
        <v>1919</v>
      </c>
      <c r="C12" s="30">
        <v>10308</v>
      </c>
      <c r="D12" s="29">
        <v>5139</v>
      </c>
      <c r="E12" s="16">
        <f t="shared" si="0"/>
        <v>15447</v>
      </c>
      <c r="F12" s="14"/>
      <c r="G12" s="3">
        <v>18173</v>
      </c>
      <c r="H12" s="7">
        <v>22074</v>
      </c>
      <c r="I12" s="9">
        <f t="shared" si="1"/>
        <v>40247</v>
      </c>
      <c r="J12" s="5">
        <v>1919</v>
      </c>
      <c r="K12" s="14"/>
      <c r="L12" s="14"/>
    </row>
    <row r="13" spans="2:18" hidden="1" outlineLevel="1" x14ac:dyDescent="0.25">
      <c r="B13" s="17">
        <v>1920</v>
      </c>
      <c r="C13" s="30">
        <v>10215</v>
      </c>
      <c r="D13" s="29">
        <v>5064</v>
      </c>
      <c r="E13" s="16">
        <f t="shared" si="0"/>
        <v>15279</v>
      </c>
      <c r="F13" s="14"/>
      <c r="G13" s="3">
        <v>19920</v>
      </c>
      <c r="H13" s="7">
        <v>22192</v>
      </c>
      <c r="I13" s="9">
        <f t="shared" si="1"/>
        <v>42112</v>
      </c>
      <c r="J13" s="5">
        <v>1920</v>
      </c>
      <c r="K13" s="14"/>
      <c r="L13" s="14"/>
    </row>
    <row r="14" spans="2:18" hidden="1" outlineLevel="1" x14ac:dyDescent="0.25">
      <c r="B14" s="17">
        <v>1921</v>
      </c>
      <c r="C14" s="30">
        <v>10245</v>
      </c>
      <c r="D14" s="29">
        <v>4905</v>
      </c>
      <c r="E14" s="16">
        <f t="shared" si="0"/>
        <v>15150</v>
      </c>
      <c r="F14" s="14"/>
      <c r="G14" s="3">
        <v>20446</v>
      </c>
      <c r="H14" s="7">
        <v>22369</v>
      </c>
      <c r="I14" s="9">
        <f t="shared" si="1"/>
        <v>42815</v>
      </c>
      <c r="J14" s="5">
        <v>1921</v>
      </c>
      <c r="K14" s="14"/>
      <c r="L14" s="14"/>
    </row>
    <row r="15" spans="2:18" hidden="1" outlineLevel="1" x14ac:dyDescent="0.25">
      <c r="B15" s="17">
        <v>1922</v>
      </c>
      <c r="C15" s="30">
        <v>10249</v>
      </c>
      <c r="D15" s="29">
        <v>5043</v>
      </c>
      <c r="E15" s="16">
        <f t="shared" si="0"/>
        <v>15292</v>
      </c>
      <c r="F15" s="14"/>
      <c r="G15" s="3">
        <v>21226</v>
      </c>
      <c r="H15" s="7">
        <v>23146</v>
      </c>
      <c r="I15" s="9">
        <f t="shared" si="1"/>
        <v>44372</v>
      </c>
      <c r="J15" s="5">
        <v>1922</v>
      </c>
      <c r="K15" s="14"/>
      <c r="L15" s="14"/>
    </row>
    <row r="16" spans="2:18" hidden="1" outlineLevel="1" x14ac:dyDescent="0.25">
      <c r="B16" s="17">
        <v>1923</v>
      </c>
      <c r="C16" s="30">
        <v>10687</v>
      </c>
      <c r="D16" s="29">
        <v>5214</v>
      </c>
      <c r="E16" s="16">
        <f t="shared" si="0"/>
        <v>15901</v>
      </c>
      <c r="F16" s="14"/>
      <c r="G16" s="3">
        <v>21328</v>
      </c>
      <c r="H16" s="7">
        <v>23269</v>
      </c>
      <c r="I16" s="9">
        <f t="shared" si="1"/>
        <v>44597</v>
      </c>
      <c r="J16" s="5">
        <v>1923</v>
      </c>
      <c r="K16" s="14"/>
      <c r="L16" s="14"/>
      <c r="R16" s="25" t="s">
        <v>16</v>
      </c>
    </row>
    <row r="17" spans="2:12" collapsed="1" x14ac:dyDescent="0.25">
      <c r="B17" s="19" t="s">
        <v>12</v>
      </c>
      <c r="C17" s="30">
        <f>SUM(C7:C16)</f>
        <v>102853</v>
      </c>
      <c r="D17" s="30">
        <f>SUM(D7:D16)</f>
        <v>48099</v>
      </c>
      <c r="E17" s="18">
        <f>SUM(E7:E16)</f>
        <v>148846</v>
      </c>
      <c r="F17" s="26">
        <f>C17/E17</f>
        <v>0.69100278139822369</v>
      </c>
      <c r="G17" s="33">
        <f>AVERAGE(G7:G16)</f>
        <v>19084.599999999999</v>
      </c>
      <c r="H17" s="33">
        <f>AVERAGE(H7:H16)</f>
        <v>22234.6</v>
      </c>
      <c r="I17" s="33">
        <f>AVERAGE(I7:I16)</f>
        <v>41319.199999999997</v>
      </c>
      <c r="J17" s="34" t="s">
        <v>17</v>
      </c>
      <c r="K17" s="34"/>
      <c r="L17" s="34"/>
    </row>
    <row r="18" spans="2:12" hidden="1" outlineLevel="1" x14ac:dyDescent="0.25">
      <c r="B18" s="17">
        <v>1924</v>
      </c>
      <c r="C18" s="30">
        <v>10946</v>
      </c>
      <c r="D18" s="29">
        <v>5415</v>
      </c>
      <c r="E18" s="16">
        <f t="shared" ref="E18:E27" si="2">SUM(C18:D18)</f>
        <v>16361</v>
      </c>
      <c r="F18" s="26">
        <f t="shared" ref="F18:F34" si="3">C18/E18</f>
        <v>0.66903001039056298</v>
      </c>
      <c r="G18" s="3">
        <v>21508</v>
      </c>
      <c r="H18" s="7">
        <v>23407</v>
      </c>
      <c r="I18" s="9">
        <f t="shared" si="1"/>
        <v>44915</v>
      </c>
      <c r="J18" s="5">
        <v>1924</v>
      </c>
      <c r="K18" s="14"/>
      <c r="L18" s="14"/>
    </row>
    <row r="19" spans="2:12" hidden="1" outlineLevel="1" x14ac:dyDescent="0.25">
      <c r="B19" s="17">
        <v>1925</v>
      </c>
      <c r="C19" s="30">
        <v>11110</v>
      </c>
      <c r="D19" s="29">
        <v>5513</v>
      </c>
      <c r="E19" s="16">
        <f t="shared" si="2"/>
        <v>16623</v>
      </c>
      <c r="F19" s="26">
        <f t="shared" si="3"/>
        <v>0.66835107982915243</v>
      </c>
      <c r="G19" s="3">
        <v>21567</v>
      </c>
      <c r="H19" s="7">
        <v>23492</v>
      </c>
      <c r="I19" s="9">
        <f t="shared" si="1"/>
        <v>45059</v>
      </c>
      <c r="J19" s="5">
        <v>1925</v>
      </c>
      <c r="K19" s="14"/>
      <c r="L19" s="14"/>
    </row>
    <row r="20" spans="2:12" hidden="1" outlineLevel="1" x14ac:dyDescent="0.25">
      <c r="B20" s="17">
        <v>1926</v>
      </c>
      <c r="C20" s="30">
        <v>11427</v>
      </c>
      <c r="D20" s="29">
        <v>5640</v>
      </c>
      <c r="E20" s="16">
        <f t="shared" si="2"/>
        <v>17067</v>
      </c>
      <c r="F20" s="26">
        <f t="shared" si="3"/>
        <v>0.66953770434171211</v>
      </c>
      <c r="G20" s="3">
        <v>21662</v>
      </c>
      <c r="H20" s="7">
        <v>23570</v>
      </c>
      <c r="I20" s="9">
        <f t="shared" si="1"/>
        <v>45232</v>
      </c>
      <c r="J20" s="5">
        <v>1926</v>
      </c>
      <c r="K20" s="14"/>
      <c r="L20" s="14"/>
    </row>
    <row r="21" spans="2:12" hidden="1" outlineLevel="1" x14ac:dyDescent="0.25">
      <c r="B21" s="17">
        <v>1927</v>
      </c>
      <c r="C21" s="30">
        <v>11607</v>
      </c>
      <c r="D21" s="29">
        <v>5747</v>
      </c>
      <c r="E21" s="16">
        <f t="shared" si="2"/>
        <v>17354</v>
      </c>
      <c r="F21" s="26">
        <f t="shared" si="3"/>
        <v>0.66883715569897428</v>
      </c>
      <c r="G21" s="3">
        <v>21733</v>
      </c>
      <c r="H21" s="7">
        <v>23656</v>
      </c>
      <c r="I21" s="9">
        <f t="shared" si="1"/>
        <v>45389</v>
      </c>
      <c r="J21" s="5">
        <v>1927</v>
      </c>
      <c r="K21" s="14"/>
      <c r="L21" s="14"/>
    </row>
    <row r="22" spans="2:12" hidden="1" outlineLevel="1" x14ac:dyDescent="0.25">
      <c r="B22" s="17">
        <v>1928</v>
      </c>
      <c r="C22" s="30">
        <v>11901</v>
      </c>
      <c r="D22" s="29">
        <v>5985</v>
      </c>
      <c r="E22" s="16">
        <f t="shared" si="2"/>
        <v>17886</v>
      </c>
      <c r="F22" s="26">
        <f t="shared" si="3"/>
        <v>0.66538074471653808</v>
      </c>
      <c r="G22" s="3">
        <v>21823</v>
      </c>
      <c r="H22" s="7">
        <v>24024</v>
      </c>
      <c r="I22" s="9">
        <f t="shared" si="1"/>
        <v>45847</v>
      </c>
      <c r="J22" s="5">
        <v>1928</v>
      </c>
      <c r="K22" s="14"/>
      <c r="L22" s="14"/>
    </row>
    <row r="23" spans="2:12" hidden="1" outlineLevel="1" x14ac:dyDescent="0.25">
      <c r="B23" s="17">
        <v>1929</v>
      </c>
      <c r="C23" s="30">
        <v>12064</v>
      </c>
      <c r="D23" s="29">
        <v>6097</v>
      </c>
      <c r="E23" s="16">
        <f t="shared" si="2"/>
        <v>18161</v>
      </c>
      <c r="F23" s="26">
        <f t="shared" si="3"/>
        <v>0.66428060128847533</v>
      </c>
      <c r="G23" s="3">
        <v>21877</v>
      </c>
      <c r="H23" s="7">
        <v>23796</v>
      </c>
      <c r="I23" s="9">
        <f t="shared" si="1"/>
        <v>45673</v>
      </c>
      <c r="J23" s="5">
        <v>1929</v>
      </c>
      <c r="K23" s="14"/>
      <c r="L23" s="14"/>
    </row>
    <row r="24" spans="2:12" hidden="1" outlineLevel="1" x14ac:dyDescent="0.25">
      <c r="B24" s="17">
        <v>1930</v>
      </c>
      <c r="C24" s="30">
        <v>12326</v>
      </c>
      <c r="D24" s="29">
        <v>6199</v>
      </c>
      <c r="E24" s="16">
        <f t="shared" si="2"/>
        <v>18525</v>
      </c>
      <c r="F24" s="26">
        <f t="shared" si="3"/>
        <v>0.66537112010796218</v>
      </c>
      <c r="G24" s="3">
        <v>21986</v>
      </c>
      <c r="H24" s="7">
        <v>23880</v>
      </c>
      <c r="I24" s="9">
        <f t="shared" si="1"/>
        <v>45866</v>
      </c>
      <c r="J24" s="5">
        <v>1930</v>
      </c>
      <c r="K24" s="14"/>
      <c r="L24" s="14"/>
    </row>
    <row r="25" spans="2:12" hidden="1" outlineLevel="1" x14ac:dyDescent="0.25">
      <c r="B25" s="17">
        <v>1931</v>
      </c>
      <c r="C25" s="30">
        <v>12469</v>
      </c>
      <c r="D25" s="29">
        <v>6239</v>
      </c>
      <c r="E25" s="16">
        <f t="shared" si="2"/>
        <v>18708</v>
      </c>
      <c r="F25" s="26">
        <f t="shared" si="3"/>
        <v>0.66650630746204831</v>
      </c>
      <c r="G25" s="3">
        <v>22087</v>
      </c>
      <c r="H25" s="7">
        <v>23987</v>
      </c>
      <c r="I25" s="9">
        <f t="shared" si="1"/>
        <v>46074</v>
      </c>
      <c r="J25" s="5">
        <v>1931</v>
      </c>
      <c r="K25" s="14"/>
      <c r="L25" s="14"/>
    </row>
    <row r="26" spans="2:12" hidden="1" outlineLevel="1" x14ac:dyDescent="0.25">
      <c r="B26" s="17">
        <v>1932</v>
      </c>
      <c r="C26" s="30">
        <v>12566</v>
      </c>
      <c r="D26" s="29">
        <v>6258</v>
      </c>
      <c r="E26" s="16">
        <f t="shared" si="2"/>
        <v>18824</v>
      </c>
      <c r="F26" s="26">
        <f t="shared" si="3"/>
        <v>0.66755206119846999</v>
      </c>
      <c r="G26" s="3">
        <v>22235</v>
      </c>
      <c r="H26" s="7">
        <v>24100</v>
      </c>
      <c r="I26" s="9">
        <f t="shared" si="1"/>
        <v>46335</v>
      </c>
      <c r="J26" s="5">
        <v>1932</v>
      </c>
      <c r="K26" s="14"/>
      <c r="L26" s="14"/>
    </row>
    <row r="27" spans="2:12" hidden="1" outlineLevel="1" x14ac:dyDescent="0.25">
      <c r="B27" s="17">
        <v>1933</v>
      </c>
      <c r="C27" s="30">
        <v>12463</v>
      </c>
      <c r="D27" s="29">
        <v>6228</v>
      </c>
      <c r="E27" s="16">
        <f t="shared" si="2"/>
        <v>18691</v>
      </c>
      <c r="F27" s="26">
        <f t="shared" si="3"/>
        <v>0.66679150393237385</v>
      </c>
      <c r="G27" s="3">
        <v>22332</v>
      </c>
      <c r="H27" s="7">
        <v>24189</v>
      </c>
      <c r="I27" s="9">
        <f t="shared" si="1"/>
        <v>46521</v>
      </c>
      <c r="J27" s="5">
        <v>1933</v>
      </c>
      <c r="K27" s="14"/>
      <c r="L27" s="14"/>
    </row>
    <row r="28" spans="2:12" collapsed="1" x14ac:dyDescent="0.25">
      <c r="B28" s="19" t="s">
        <v>13</v>
      </c>
      <c r="C28" s="30">
        <f>SUM(C18:C27)</f>
        <v>118879</v>
      </c>
      <c r="D28" s="30">
        <f>SUM(D18:D27)</f>
        <v>59321</v>
      </c>
      <c r="E28" s="4">
        <f>SUM(E18:E27)</f>
        <v>178200</v>
      </c>
      <c r="F28" s="26">
        <f t="shared" si="3"/>
        <v>0.66710998877665539</v>
      </c>
      <c r="G28" s="36">
        <f>MAX(G7:G27)</f>
        <v>22332</v>
      </c>
      <c r="H28" s="36">
        <f>MAX(H7:H27)</f>
        <v>24189</v>
      </c>
      <c r="I28" s="36">
        <f>MAX(I7:I27)</f>
        <v>46521</v>
      </c>
      <c r="J28" s="35" t="s">
        <v>18</v>
      </c>
      <c r="K28" s="35"/>
      <c r="L28" s="35"/>
    </row>
    <row r="29" spans="2:12" hidden="1" outlineLevel="1" x14ac:dyDescent="0.25">
      <c r="B29" s="17">
        <v>1934</v>
      </c>
      <c r="C29" s="30">
        <v>12522</v>
      </c>
      <c r="D29" s="29">
        <v>6273</v>
      </c>
      <c r="E29" s="16">
        <f>SUM(C29:D29)</f>
        <v>18795</v>
      </c>
      <c r="F29" s="26">
        <f t="shared" si="3"/>
        <v>0.66624102154828413</v>
      </c>
      <c r="G29" s="3">
        <v>22403</v>
      </c>
      <c r="H29" s="7">
        <v>24263</v>
      </c>
      <c r="I29" s="9">
        <f>G29+H29</f>
        <v>46666</v>
      </c>
      <c r="J29" s="5">
        <v>1934</v>
      </c>
      <c r="K29" s="14"/>
      <c r="L29" s="14"/>
    </row>
    <row r="30" spans="2:12" hidden="1" outlineLevel="1" x14ac:dyDescent="0.25">
      <c r="B30" s="17">
        <v>1935</v>
      </c>
      <c r="C30" s="30">
        <v>12705</v>
      </c>
      <c r="D30" s="29">
        <v>6347</v>
      </c>
      <c r="E30" s="16">
        <f>SUM(C30:D30)</f>
        <v>19052</v>
      </c>
      <c r="F30" s="26">
        <f t="shared" si="3"/>
        <v>0.66685912240184753</v>
      </c>
      <c r="G30" s="3">
        <v>22504</v>
      </c>
      <c r="H30" s="7">
        <v>24364</v>
      </c>
      <c r="I30" s="9">
        <f>G30+H30</f>
        <v>46868</v>
      </c>
      <c r="J30" s="5">
        <v>1935</v>
      </c>
      <c r="K30" s="14"/>
      <c r="L30" s="14"/>
    </row>
    <row r="31" spans="2:12" hidden="1" outlineLevel="1" x14ac:dyDescent="0.25">
      <c r="B31" s="17">
        <v>1936</v>
      </c>
      <c r="C31" s="30">
        <v>13246</v>
      </c>
      <c r="D31" s="29">
        <v>6573</v>
      </c>
      <c r="E31" s="16">
        <f>SUM(C31:D31)</f>
        <v>19819</v>
      </c>
      <c r="F31" s="26">
        <f t="shared" si="3"/>
        <v>0.6683485544174782</v>
      </c>
      <c r="G31" s="3">
        <v>22605</v>
      </c>
      <c r="H31" s="7">
        <v>24476</v>
      </c>
      <c r="I31" s="9">
        <f>G31+H31</f>
        <v>47081</v>
      </c>
      <c r="J31" s="5">
        <v>1936</v>
      </c>
      <c r="K31" s="14"/>
      <c r="L31" s="14"/>
    </row>
    <row r="32" spans="2:12" hidden="1" outlineLevel="1" x14ac:dyDescent="0.25">
      <c r="B32" s="17">
        <v>1937</v>
      </c>
      <c r="C32" s="30">
        <v>13546</v>
      </c>
      <c r="D32" s="29">
        <v>6735</v>
      </c>
      <c r="E32" s="16">
        <f>SUM(C32:D32)</f>
        <v>20281</v>
      </c>
      <c r="F32" s="26">
        <f t="shared" si="3"/>
        <v>0.66791578324540213</v>
      </c>
      <c r="G32" s="3">
        <v>22726</v>
      </c>
      <c r="H32" s="7">
        <v>24563</v>
      </c>
      <c r="I32" s="9">
        <f>G32+H32</f>
        <v>47289</v>
      </c>
      <c r="J32" s="5">
        <v>1937</v>
      </c>
      <c r="K32" s="14"/>
      <c r="L32" s="14"/>
    </row>
    <row r="33" spans="2:12" hidden="1" outlineLevel="1" x14ac:dyDescent="0.25">
      <c r="B33" s="20" t="s">
        <v>14</v>
      </c>
      <c r="C33" s="31">
        <v>14303</v>
      </c>
      <c r="D33" s="31">
        <v>7285</v>
      </c>
      <c r="E33" s="21">
        <f>SUM(C33:D33)</f>
        <v>21588</v>
      </c>
      <c r="F33" s="26">
        <f t="shared" si="3"/>
        <v>0.66254400592921991</v>
      </c>
      <c r="G33" s="3">
        <v>22822</v>
      </c>
      <c r="H33" s="7">
        <v>24762</v>
      </c>
      <c r="I33" s="7">
        <f>G33+H33</f>
        <v>47584</v>
      </c>
      <c r="J33" s="23">
        <v>1938</v>
      </c>
      <c r="K33" s="22"/>
      <c r="L33" s="22"/>
    </row>
    <row r="34" spans="2:12" s="7" customFormat="1" collapsed="1" x14ac:dyDescent="0.25">
      <c r="B34" s="24" t="s">
        <v>15</v>
      </c>
      <c r="C34" s="31">
        <f>SUM(C29:C33)</f>
        <v>66322</v>
      </c>
      <c r="D34" s="31">
        <f>SUM(D29:D33)</f>
        <v>33213</v>
      </c>
      <c r="E34" s="7">
        <f>SUM(E29:E33)</f>
        <v>99535</v>
      </c>
      <c r="F34" s="26">
        <f t="shared" si="3"/>
        <v>0.66631838046918168</v>
      </c>
      <c r="G34" s="37">
        <f>MIN(G29,G33)</f>
        <v>22403</v>
      </c>
      <c r="H34" s="37">
        <f>MIN(H29,H33)</f>
        <v>24263</v>
      </c>
      <c r="I34" s="37">
        <f>MIN(I29,I33)</f>
        <v>46666</v>
      </c>
      <c r="J34" s="37" t="s">
        <v>19</v>
      </c>
      <c r="K34" s="37"/>
      <c r="L34" s="37"/>
    </row>
    <row r="35" spans="2:12" x14ac:dyDescent="0.25">
      <c r="C35" s="27">
        <f>SUM(C34,C28,C17)</f>
        <v>288054</v>
      </c>
      <c r="D35" s="27">
        <f>SUM(D34,D28,D17)</f>
        <v>140633</v>
      </c>
      <c r="E35">
        <f>SUM(E34,E28,E17)</f>
        <v>426581</v>
      </c>
    </row>
  </sheetData>
  <mergeCells count="6">
    <mergeCell ref="G5:I5"/>
    <mergeCell ref="C5:E5"/>
    <mergeCell ref="K5:K6"/>
    <mergeCell ref="L5:L6"/>
    <mergeCell ref="J5:J6"/>
    <mergeCell ref="F5:F6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ignoredErrors>
    <ignoredError sqref="B7:E1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7" sqref="A7"/>
    </sheetView>
  </sheetViews>
  <sheetFormatPr defaultRowHeight="13.2" x14ac:dyDescent="0.25"/>
  <sheetData>
    <row r="1" spans="1:2" x14ac:dyDescent="0.25">
      <c r="A1" t="s">
        <v>22</v>
      </c>
      <c r="B1" t="s">
        <v>20</v>
      </c>
    </row>
    <row r="2" spans="1:2" x14ac:dyDescent="0.25">
      <c r="A2" t="s">
        <v>23</v>
      </c>
      <c r="B2">
        <v>10</v>
      </c>
    </row>
    <row r="3" spans="1:2" x14ac:dyDescent="0.25">
      <c r="A3" t="s">
        <v>21</v>
      </c>
      <c r="B3">
        <v>15</v>
      </c>
    </row>
    <row r="4" spans="1:2" x14ac:dyDescent="0.25">
      <c r="A4" t="s">
        <v>24</v>
      </c>
      <c r="B4">
        <v>15</v>
      </c>
    </row>
    <row r="5" spans="1:2" x14ac:dyDescent="0.25">
      <c r="A5" t="s">
        <v>23</v>
      </c>
    </row>
  </sheetData>
  <dataValidations count="1">
    <dataValidation type="list" allowBlank="1" showInputMessage="1" showErrorMessage="1" sqref="A5:A10">
      <formula1>Товары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activeCell="C9" sqref="C9"/>
    </sheetView>
  </sheetViews>
  <sheetFormatPr defaultRowHeight="13.2" x14ac:dyDescent="0.25"/>
  <cols>
    <col min="2" max="2" width="18.44140625" customWidth="1"/>
    <col min="3" max="3" width="23.77734375" customWidth="1"/>
    <col min="4" max="4" width="31.77734375" customWidth="1"/>
  </cols>
  <sheetData>
    <row r="1" spans="1:4" x14ac:dyDescent="0.25">
      <c r="A1" s="25" t="s">
        <v>30</v>
      </c>
      <c r="B1" s="47">
        <v>0.12</v>
      </c>
      <c r="C1" s="25" t="s">
        <v>29</v>
      </c>
      <c r="D1" s="51" t="s">
        <v>31</v>
      </c>
    </row>
    <row r="2" spans="1:4" x14ac:dyDescent="0.25">
      <c r="A2" s="25" t="s">
        <v>25</v>
      </c>
      <c r="B2">
        <v>6</v>
      </c>
      <c r="D2" s="51">
        <f>FV(B1,B2,B3,B4,1)</f>
        <v>18958.125154304013</v>
      </c>
    </row>
    <row r="3" spans="1:4" x14ac:dyDescent="0.25">
      <c r="A3" s="25" t="s">
        <v>26</v>
      </c>
      <c r="B3">
        <v>-1000</v>
      </c>
      <c r="C3" s="47">
        <v>0.08</v>
      </c>
      <c r="D3" s="52">
        <v>15857.174974464011</v>
      </c>
    </row>
    <row r="4" spans="1:4" x14ac:dyDescent="0.25">
      <c r="A4" s="25" t="s">
        <v>27</v>
      </c>
      <c r="B4">
        <v>-5000</v>
      </c>
      <c r="C4" s="49">
        <v>0.09</v>
      </c>
      <c r="D4" s="52">
        <v>16585.935229946012</v>
      </c>
    </row>
    <row r="5" spans="1:4" x14ac:dyDescent="0.25">
      <c r="A5" s="25" t="s">
        <v>28</v>
      </c>
      <c r="B5" s="48">
        <v>18958.13</v>
      </c>
      <c r="C5" s="47">
        <v>0.1</v>
      </c>
      <c r="D5" s="52">
        <v>17344.976000000013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selection activeCell="H10" sqref="H10"/>
    </sheetView>
  </sheetViews>
  <sheetFormatPr defaultRowHeight="13.2" x14ac:dyDescent="0.25"/>
  <cols>
    <col min="1" max="1" width="17.77734375" customWidth="1"/>
    <col min="2" max="2" width="10.6640625" bestFit="1" customWidth="1"/>
    <col min="3" max="3" width="17.44140625" customWidth="1"/>
    <col min="4" max="4" width="12" style="54" bestFit="1" customWidth="1"/>
  </cols>
  <sheetData>
    <row r="1" spans="1:9" x14ac:dyDescent="0.25">
      <c r="A1" s="25" t="s">
        <v>30</v>
      </c>
      <c r="B1" s="47">
        <v>0.12</v>
      </c>
      <c r="C1" s="25" t="s">
        <v>29</v>
      </c>
      <c r="D1" s="55" t="s">
        <v>32</v>
      </c>
      <c r="E1" s="55"/>
      <c r="F1" s="55"/>
      <c r="G1" s="55"/>
      <c r="H1" s="55"/>
      <c r="I1" s="55"/>
    </row>
    <row r="2" spans="1:9" x14ac:dyDescent="0.25">
      <c r="A2" s="25" t="s">
        <v>25</v>
      </c>
      <c r="B2">
        <v>6</v>
      </c>
      <c r="C2" s="50">
        <f>FV(B1,B2,B3,B4,1)</f>
        <v>18958.125154304013</v>
      </c>
      <c r="D2" s="53">
        <v>8</v>
      </c>
      <c r="E2">
        <v>9</v>
      </c>
      <c r="F2">
        <v>10</v>
      </c>
      <c r="G2">
        <v>11</v>
      </c>
      <c r="H2">
        <v>12</v>
      </c>
    </row>
    <row r="3" spans="1:9" x14ac:dyDescent="0.25">
      <c r="A3" s="25" t="s">
        <v>26</v>
      </c>
      <c r="B3">
        <v>-1000</v>
      </c>
      <c r="C3" s="47">
        <v>0.08</v>
      </c>
      <c r="D3" s="50">
        <f t="dataTable" ref="D3:H5" dt2D="1" dtr="1" r1="B2" r2="B1"/>
        <v>20742.208890214824</v>
      </c>
      <c r="E3">
        <v>23481.585601432012</v>
      </c>
      <c r="F3">
        <v>26440.112449546577</v>
      </c>
      <c r="G3">
        <v>29635.321445510297</v>
      </c>
      <c r="H3">
        <v>33086.14716115113</v>
      </c>
    </row>
    <row r="4" spans="1:9" x14ac:dyDescent="0.25">
      <c r="A4" s="25" t="s">
        <v>27</v>
      </c>
      <c r="B4">
        <v>-5000</v>
      </c>
      <c r="C4" s="49">
        <v>0.09</v>
      </c>
      <c r="D4" s="54">
        <v>21983.849646698858</v>
      </c>
      <c r="E4">
        <v>25052.39611490176</v>
      </c>
      <c r="F4">
        <v>28397.111765242924</v>
      </c>
      <c r="G4">
        <v>32042.851824114783</v>
      </c>
      <c r="H4">
        <v>36016.708488285112</v>
      </c>
    </row>
    <row r="5" spans="1:9" x14ac:dyDescent="0.25">
      <c r="A5" s="25" t="s">
        <v>28</v>
      </c>
      <c r="B5" s="48">
        <v>18958.13</v>
      </c>
      <c r="C5" s="47">
        <v>0.1</v>
      </c>
      <c r="D5" s="54">
        <v>23297.420960000018</v>
      </c>
      <c r="E5">
        <v>26727.163056000027</v>
      </c>
      <c r="F5">
        <v>30499.879361600033</v>
      </c>
      <c r="G5">
        <v>34649.867297760044</v>
      </c>
      <c r="H5">
        <v>39214.854027536043</v>
      </c>
    </row>
  </sheetData>
  <mergeCells count="1">
    <mergeCell ref="D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G11" sqref="G11"/>
    </sheetView>
  </sheetViews>
  <sheetFormatPr defaultRowHeight="13.2" x14ac:dyDescent="0.25"/>
  <cols>
    <col min="1" max="1" width="14.21875" customWidth="1"/>
  </cols>
  <sheetData>
    <row r="1" spans="1:6" x14ac:dyDescent="0.25">
      <c r="A1" s="57" t="s">
        <v>33</v>
      </c>
      <c r="B1" s="57" t="s">
        <v>34</v>
      </c>
      <c r="C1" s="56"/>
      <c r="D1" s="56"/>
      <c r="E1" s="56"/>
    </row>
    <row r="2" spans="1:6" x14ac:dyDescent="0.25">
      <c r="A2" s="56"/>
      <c r="B2">
        <v>1</v>
      </c>
      <c r="C2">
        <v>2</v>
      </c>
      <c r="D2">
        <v>3</v>
      </c>
      <c r="E2">
        <v>4</v>
      </c>
    </row>
    <row r="3" spans="1:6" x14ac:dyDescent="0.25">
      <c r="A3" s="25" t="s">
        <v>35</v>
      </c>
      <c r="B3">
        <v>4</v>
      </c>
      <c r="C3">
        <v>5</v>
      </c>
      <c r="D3">
        <v>5</v>
      </c>
      <c r="E3">
        <v>7</v>
      </c>
      <c r="F3">
        <v>100</v>
      </c>
    </row>
    <row r="4" spans="1:6" x14ac:dyDescent="0.25">
      <c r="A4" s="25" t="s">
        <v>36</v>
      </c>
      <c r="B4">
        <v>8</v>
      </c>
      <c r="C4">
        <v>7</v>
      </c>
      <c r="D4">
        <v>5</v>
      </c>
      <c r="E4">
        <v>4</v>
      </c>
      <c r="F4">
        <v>120</v>
      </c>
    </row>
    <row r="5" spans="1:6" x14ac:dyDescent="0.25">
      <c r="A5" s="25" t="s">
        <v>37</v>
      </c>
      <c r="B5">
        <v>9</v>
      </c>
      <c r="C5">
        <v>6</v>
      </c>
      <c r="D5">
        <v>4</v>
      </c>
      <c r="E5">
        <v>5</v>
      </c>
      <c r="F5">
        <v>150</v>
      </c>
    </row>
    <row r="6" spans="1:6" x14ac:dyDescent="0.25">
      <c r="A6" s="25" t="s">
        <v>38</v>
      </c>
      <c r="B6">
        <v>3</v>
      </c>
      <c r="C6">
        <v>2</v>
      </c>
      <c r="D6">
        <v>9</v>
      </c>
      <c r="E6">
        <v>3</v>
      </c>
      <c r="F6">
        <v>130</v>
      </c>
    </row>
    <row r="7" spans="1:6" x14ac:dyDescent="0.25">
      <c r="B7">
        <v>140</v>
      </c>
      <c r="C7">
        <v>130</v>
      </c>
      <c r="D7">
        <v>90</v>
      </c>
      <c r="E7">
        <v>140</v>
      </c>
    </row>
  </sheetData>
  <mergeCells count="2">
    <mergeCell ref="A1:A2"/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Heath insurance</vt:lpstr>
      <vt:lpstr>Лист2</vt:lpstr>
      <vt:lpstr>Лист5</vt:lpstr>
      <vt:lpstr>Лист4</vt:lpstr>
      <vt:lpstr>Лист6</vt:lpstr>
      <vt:lpstr>Товары</vt:lpstr>
    </vt:vector>
  </TitlesOfParts>
  <Company>University of Glasgow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Authorised User</dc:creator>
  <cp:lastModifiedBy>user</cp:lastModifiedBy>
  <dcterms:created xsi:type="dcterms:W3CDTF">2006-03-12T16:45:05Z</dcterms:created>
  <dcterms:modified xsi:type="dcterms:W3CDTF">2018-09-26T10:02:58Z</dcterms:modified>
</cp:coreProperties>
</file>